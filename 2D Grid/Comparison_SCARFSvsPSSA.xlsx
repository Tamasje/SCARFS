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bonheur\Downloads\"/>
    </mc:Choice>
  </mc:AlternateContent>
  <xr:revisionPtr revIDLastSave="0" documentId="13_ncr:1_{48A3286D-4043-4808-9986-060CE583FEFA}" xr6:coauthVersionLast="47" xr6:coauthVersionMax="47" xr10:uidLastSave="{00000000-0000-0000-0000-000000000000}"/>
  <bookViews>
    <workbookView xWindow="28680" yWindow="-120" windowWidth="29040" windowHeight="15720" xr2:uid="{ACEE6A6F-246C-41CB-BD24-C35300218280}"/>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16" i="2" l="1"/>
  <c r="J6" i="2"/>
  <c r="K6" i="2"/>
  <c r="L6" i="2"/>
  <c r="J7" i="2"/>
  <c r="K7" i="2"/>
  <c r="L7" i="2"/>
  <c r="J8" i="2"/>
  <c r="K8" i="2"/>
  <c r="L8" i="2"/>
  <c r="J9" i="2"/>
  <c r="K9" i="2"/>
  <c r="L9" i="2"/>
  <c r="J10" i="2"/>
  <c r="K10" i="2"/>
  <c r="L10" i="2"/>
  <c r="J11" i="2"/>
  <c r="K11" i="2"/>
  <c r="L11" i="2"/>
  <c r="J12" i="2"/>
  <c r="K12" i="2"/>
  <c r="L12" i="2"/>
  <c r="J13" i="2"/>
  <c r="K13" i="2"/>
  <c r="L13" i="2"/>
  <c r="J14" i="2"/>
  <c r="K14" i="2"/>
  <c r="L14" i="2"/>
  <c r="J15" i="2"/>
  <c r="K15" i="2"/>
  <c r="L15" i="2"/>
  <c r="J16" i="2"/>
  <c r="K16" i="2"/>
  <c r="J17" i="2"/>
  <c r="K17" i="2"/>
  <c r="L17" i="2"/>
  <c r="I7" i="2"/>
  <c r="I8" i="2"/>
  <c r="I9" i="2"/>
  <c r="I10" i="2"/>
  <c r="I11" i="2"/>
  <c r="I12" i="2"/>
  <c r="I13" i="2"/>
  <c r="I14" i="2"/>
  <c r="I15" i="2"/>
  <c r="I16" i="2"/>
  <c r="I17" i="2"/>
  <c r="I6" i="2"/>
  <c r="D23" i="2"/>
  <c r="D24" i="2"/>
  <c r="D25" i="2"/>
  <c r="D26" i="2"/>
  <c r="D27" i="2"/>
  <c r="D28" i="2"/>
  <c r="D29" i="2"/>
  <c r="D30" i="2"/>
  <c r="D31" i="2"/>
  <c r="D32" i="2"/>
  <c r="D33" i="2"/>
  <c r="D22" i="2"/>
  <c r="J1" i="2"/>
  <c r="K1" i="2"/>
  <c r="I1" i="2"/>
  <c r="J3" i="2"/>
  <c r="K3" i="2"/>
  <c r="J4" i="2"/>
  <c r="K4" i="2"/>
  <c r="K2" i="2"/>
  <c r="J2" i="2"/>
  <c r="I2" i="2"/>
  <c r="I3" i="2"/>
  <c r="I4" i="2"/>
  <c r="H3" i="2"/>
  <c r="H4" i="2"/>
  <c r="H2" i="2"/>
</calcChain>
</file>

<file path=xl/sharedStrings.xml><?xml version="1.0" encoding="utf-8"?>
<sst xmlns="http://schemas.openxmlformats.org/spreadsheetml/2006/main" count="54" uniqueCount="26">
  <si>
    <t>H2</t>
  </si>
  <si>
    <t>CH4</t>
  </si>
  <si>
    <t>C2H2</t>
  </si>
  <si>
    <t>C2H4</t>
  </si>
  <si>
    <t>C2H6</t>
  </si>
  <si>
    <t>C3H6</t>
  </si>
  <si>
    <t>C3H8</t>
  </si>
  <si>
    <t>COT [K]</t>
  </si>
  <si>
    <t>C3H4_ma</t>
  </si>
  <si>
    <t>C3H4_pd</t>
  </si>
  <si>
    <t>Benzene</t>
  </si>
  <si>
    <t>Toluene</t>
  </si>
  <si>
    <t>Xylenes</t>
  </si>
  <si>
    <t>PSSA</t>
  </si>
  <si>
    <t>SCARFS</t>
  </si>
  <si>
    <t>UDM</t>
  </si>
  <si>
    <t>UDF E-source [W] volume average over entire domain</t>
  </si>
  <si>
    <t>UDF Volumetric E-source [W/m3] volume average over entire domain</t>
  </si>
  <si>
    <t>Mass frac [wt%]</t>
  </si>
  <si>
    <t>Mass frac [wt%-dry]</t>
  </si>
  <si>
    <t>SCARFS_AfterDecoding*</t>
  </si>
  <si>
    <t xml:space="preserve">* After decoding, a jump in residuals took place clearly hinting in changes on the computational grid due to this step. After forcing it to SS again, 'different' results are obtained. This is odd, as the decoding should be just taking values from the cell and not overwrite cell properties. </t>
  </si>
  <si>
    <t>Stableode_k8</t>
  </si>
  <si>
    <t>Stableode_k8**</t>
  </si>
  <si>
    <t>** does the decoding each iteration/timestep</t>
  </si>
  <si>
    <t>Inlet concentrations (wt%)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</si>
</sst>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1" fontId="0" fillId="0" borderId="0" xfId="0" applyNumberFormat="1"/>
    <xf numFmtId="0" fontId="1" fillId="0" borderId="0" xfId="0" applyFont="1"/>
    <xf numFmtId="0" fontId="0" fillId="0" borderId="0" xfId="0" applyAlignment="1">
      <alignment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499C9-EF05-4153-8DEB-AE1DCF25C9E2}">
  <dimension ref="A1:L33"/>
  <sheetViews>
    <sheetView tabSelected="1" zoomScale="80" zoomScaleNormal="80" workbookViewId="0">
      <selection activeCell="E10" sqref="E10"/>
    </sheetView>
  </sheetViews>
  <sheetFormatPr defaultRowHeight="14.4" x14ac:dyDescent="0.3"/>
  <cols>
    <col min="1" max="1" width="23.109375" bestFit="1" customWidth="1"/>
    <col min="2" max="2" width="56.5546875" bestFit="1" customWidth="1"/>
    <col min="4" max="4" width="12" bestFit="1" customWidth="1"/>
    <col min="5" max="5" width="33.33203125" customWidth="1"/>
    <col min="6" max="7" width="19.5546875" customWidth="1"/>
    <col min="8" max="8" width="56.5546875" bestFit="1" customWidth="1"/>
    <col min="9" max="9" width="12" bestFit="1" customWidth="1"/>
    <col min="11" max="11" width="20.88671875" bestFit="1" customWidth="1"/>
  </cols>
  <sheetData>
    <row r="1" spans="1:12" x14ac:dyDescent="0.3">
      <c r="B1" s="2"/>
      <c r="C1" t="s">
        <v>14</v>
      </c>
      <c r="D1" t="s">
        <v>13</v>
      </c>
      <c r="E1" t="s">
        <v>20</v>
      </c>
      <c r="F1" t="s">
        <v>23</v>
      </c>
      <c r="H1" s="2"/>
      <c r="I1" t="str">
        <f>C1</f>
        <v>SCARFS</v>
      </c>
      <c r="J1" t="str">
        <f t="shared" ref="J1:K1" si="0">D1</f>
        <v>PSSA</v>
      </c>
      <c r="K1" t="str">
        <f t="shared" si="0"/>
        <v>SCARFS_AfterDecoding*</v>
      </c>
      <c r="L1" t="s">
        <v>22</v>
      </c>
    </row>
    <row r="2" spans="1:12" x14ac:dyDescent="0.3">
      <c r="B2" t="s">
        <v>7</v>
      </c>
      <c r="C2">
        <v>1035.2781</v>
      </c>
      <c r="D2">
        <v>1033.9295</v>
      </c>
      <c r="E2">
        <v>1033.7719999999999</v>
      </c>
      <c r="F2">
        <v>1032.8655000000001</v>
      </c>
      <c r="H2" t="str">
        <f>B2</f>
        <v>COT [K]</v>
      </c>
      <c r="I2">
        <f>C2</f>
        <v>1035.2781</v>
      </c>
      <c r="J2">
        <f>D2</f>
        <v>1033.9295</v>
      </c>
      <c r="K2">
        <f>E2</f>
        <v>1033.7719999999999</v>
      </c>
    </row>
    <row r="3" spans="1:12" x14ac:dyDescent="0.3">
      <c r="B3" t="s">
        <v>16</v>
      </c>
      <c r="C3">
        <v>-535.86999000000003</v>
      </c>
      <c r="D3">
        <v>-222.86813000000001</v>
      </c>
      <c r="E3">
        <v>-417.50105000000002</v>
      </c>
      <c r="F3">
        <v>-414.18905000000001</v>
      </c>
      <c r="H3" t="str">
        <f t="shared" ref="H3:I4" si="1">B3</f>
        <v>UDF E-source [W] volume average over entire domain</v>
      </c>
      <c r="I3">
        <f t="shared" si="1"/>
        <v>-535.86999000000003</v>
      </c>
      <c r="J3">
        <f t="shared" ref="J3:J4" si="2">D3</f>
        <v>-222.86813000000001</v>
      </c>
      <c r="K3">
        <f t="shared" ref="K3:K4" si="3">E3</f>
        <v>-417.50105000000002</v>
      </c>
    </row>
    <row r="4" spans="1:12" x14ac:dyDescent="0.3">
      <c r="B4" t="s">
        <v>17</v>
      </c>
      <c r="C4">
        <v>-7809645.7999999998</v>
      </c>
      <c r="D4">
        <v>-3767483.5</v>
      </c>
      <c r="E4">
        <v>-7969962.9000000004</v>
      </c>
      <c r="F4">
        <v>-7752331.5</v>
      </c>
      <c r="H4" t="str">
        <f t="shared" si="1"/>
        <v>UDF Volumetric E-source [W/m3] volume average over entire domain</v>
      </c>
      <c r="I4">
        <f t="shared" si="1"/>
        <v>-7809645.7999999998</v>
      </c>
      <c r="J4">
        <f t="shared" si="2"/>
        <v>-3767483.5</v>
      </c>
      <c r="K4">
        <f t="shared" si="3"/>
        <v>-7969962.9000000004</v>
      </c>
    </row>
    <row r="5" spans="1:12" x14ac:dyDescent="0.3">
      <c r="A5" t="s">
        <v>15</v>
      </c>
      <c r="B5" t="s">
        <v>18</v>
      </c>
      <c r="H5" t="s">
        <v>19</v>
      </c>
    </row>
    <row r="6" spans="1:12" x14ac:dyDescent="0.3">
      <c r="A6">
        <v>12</v>
      </c>
      <c r="B6" t="s">
        <v>0</v>
      </c>
      <c r="C6" s="1">
        <v>7.6200017000000002E-3</v>
      </c>
      <c r="D6" s="1">
        <v>1.1208851000000001E-2</v>
      </c>
      <c r="E6" s="1">
        <v>7.6406215E-3</v>
      </c>
      <c r="F6">
        <v>7.1424534000000001E-3</v>
      </c>
      <c r="H6" t="s">
        <v>0</v>
      </c>
      <c r="I6" s="1">
        <f>C6/SUM(C$22:C$33)</f>
        <v>1.3123837925512291E-2</v>
      </c>
      <c r="J6" s="1">
        <f t="shared" ref="J6:L17" si="4">D6/SUM(D$22:D$33)</f>
        <v>1.9304870214821128E-2</v>
      </c>
      <c r="K6" s="1">
        <f t="shared" si="4"/>
        <v>1.3160587529758674E-2</v>
      </c>
      <c r="L6" s="1">
        <f t="shared" si="4"/>
        <v>1.2981543816170381E-2</v>
      </c>
    </row>
    <row r="7" spans="1:12" x14ac:dyDescent="0.3">
      <c r="A7">
        <v>13</v>
      </c>
      <c r="B7" t="s">
        <v>1</v>
      </c>
      <c r="C7" s="1">
        <v>2.4298933999999999E-3</v>
      </c>
      <c r="D7" s="1">
        <v>4.2423176999999996E-3</v>
      </c>
      <c r="E7" s="1">
        <v>2.8305543E-3</v>
      </c>
      <c r="F7">
        <v>2.7280270000000001E-3</v>
      </c>
      <c r="H7" t="s">
        <v>1</v>
      </c>
      <c r="I7" s="1">
        <f t="shared" ref="I7:I17" si="5">C7/SUM(C$22:C$33)</f>
        <v>4.1849763836498887E-3</v>
      </c>
      <c r="J7" s="1">
        <f t="shared" si="4"/>
        <v>7.3064931105372415E-3</v>
      </c>
      <c r="K7" s="1">
        <f t="shared" si="4"/>
        <v>4.8754878936071878E-3</v>
      </c>
      <c r="L7" s="1">
        <f t="shared" si="4"/>
        <v>4.9582405440959315E-3</v>
      </c>
    </row>
    <row r="8" spans="1:12" x14ac:dyDescent="0.3">
      <c r="A8">
        <v>104</v>
      </c>
      <c r="B8" t="s">
        <v>2</v>
      </c>
      <c r="C8" s="1">
        <v>4.5095407999999997E-5</v>
      </c>
      <c r="D8" s="1">
        <v>7.4320023999999998E-4</v>
      </c>
      <c r="E8" s="1">
        <v>6.9553716000000002E-5</v>
      </c>
      <c r="F8" s="1">
        <v>8.2284797999999996E-5</v>
      </c>
      <c r="G8" s="1"/>
      <c r="H8" t="s">
        <v>2</v>
      </c>
      <c r="I8" s="1">
        <f t="shared" si="5"/>
        <v>7.7667282643368739E-5</v>
      </c>
      <c r="J8" s="1">
        <f t="shared" si="4"/>
        <v>1.2800048976316942E-3</v>
      </c>
      <c r="K8" s="1">
        <f t="shared" si="4"/>
        <v>1.1980278926759772E-4</v>
      </c>
      <c r="L8" s="1">
        <f t="shared" si="4"/>
        <v>1.4955417288991049E-4</v>
      </c>
    </row>
    <row r="9" spans="1:12" x14ac:dyDescent="0.3">
      <c r="A9">
        <v>56</v>
      </c>
      <c r="B9" t="s">
        <v>3</v>
      </c>
      <c r="C9" s="1">
        <v>0.1031011</v>
      </c>
      <c r="D9" s="1">
        <v>0.14696113999999999</v>
      </c>
      <c r="E9" s="1">
        <v>0.10268703999999999</v>
      </c>
      <c r="F9">
        <v>9.5685185000000006E-2</v>
      </c>
      <c r="H9" t="s">
        <v>3</v>
      </c>
      <c r="I9" s="1">
        <f t="shared" si="5"/>
        <v>0.17756979323797725</v>
      </c>
      <c r="J9" s="1">
        <f t="shared" si="4"/>
        <v>0.25310941632841383</v>
      </c>
      <c r="K9" s="1">
        <f t="shared" si="4"/>
        <v>0.17687327897237548</v>
      </c>
      <c r="L9" s="1">
        <f t="shared" si="4"/>
        <v>0.17390962909689675</v>
      </c>
    </row>
    <row r="10" spans="1:12" x14ac:dyDescent="0.3">
      <c r="A10">
        <v>14</v>
      </c>
      <c r="B10" t="s">
        <v>4</v>
      </c>
      <c r="C10" s="1">
        <v>0.51049109000000004</v>
      </c>
      <c r="D10" s="1">
        <v>0.40985780999999999</v>
      </c>
      <c r="E10" s="1">
        <v>0.49520975</v>
      </c>
      <c r="F10">
        <v>0.51103843000000004</v>
      </c>
      <c r="H10" t="s">
        <v>4</v>
      </c>
      <c r="I10" s="1">
        <f t="shared" si="5"/>
        <v>0.87921270773182481</v>
      </c>
      <c r="J10" s="1">
        <f t="shared" si="4"/>
        <v>0.70589321140773631</v>
      </c>
      <c r="K10" s="1">
        <f t="shared" si="4"/>
        <v>0.85297397083010984</v>
      </c>
      <c r="L10" s="1">
        <f t="shared" si="4"/>
        <v>0.92882198864495513</v>
      </c>
    </row>
    <row r="11" spans="1:12" x14ac:dyDescent="0.3">
      <c r="A11">
        <v>105</v>
      </c>
      <c r="B11" t="s">
        <v>8</v>
      </c>
      <c r="C11" s="1">
        <v>3.2358673000000002E-6</v>
      </c>
      <c r="D11" s="1">
        <v>1.6097010999999999E-5</v>
      </c>
      <c r="E11" s="1">
        <v>4.8462065999999997E-6</v>
      </c>
      <c r="F11" s="1">
        <v>5.6841590000000001E-6</v>
      </c>
      <c r="G11" s="1"/>
      <c r="H11" t="s">
        <v>8</v>
      </c>
      <c r="I11" s="1">
        <f t="shared" si="5"/>
        <v>5.5730956062208041E-6</v>
      </c>
      <c r="J11" s="1">
        <f t="shared" si="4"/>
        <v>2.7723689805632E-5</v>
      </c>
      <c r="K11" s="1">
        <f t="shared" si="4"/>
        <v>8.3473479410796853E-6</v>
      </c>
      <c r="L11" s="1">
        <f t="shared" si="4"/>
        <v>1.0331066229508648E-5</v>
      </c>
    </row>
    <row r="12" spans="1:12" x14ac:dyDescent="0.3">
      <c r="A12">
        <v>106</v>
      </c>
      <c r="B12" t="s">
        <v>9</v>
      </c>
      <c r="C12" s="1">
        <v>2.8288526000000001E-6</v>
      </c>
      <c r="D12" s="1">
        <v>1.4049938E-5</v>
      </c>
      <c r="E12" s="1">
        <v>4.0054057999999997E-6</v>
      </c>
      <c r="F12" s="1">
        <v>4.1380837E-6</v>
      </c>
      <c r="G12" s="1"/>
      <c r="H12" t="s">
        <v>9</v>
      </c>
      <c r="I12" s="1">
        <f t="shared" si="5"/>
        <v>4.8720990492120299E-6</v>
      </c>
      <c r="J12" s="1">
        <f t="shared" si="4"/>
        <v>2.419804042504299E-5</v>
      </c>
      <c r="K12" s="1">
        <f t="shared" si="4"/>
        <v>6.8991107101828116E-6</v>
      </c>
      <c r="L12" s="1">
        <f t="shared" si="4"/>
        <v>7.5210452008731979E-6</v>
      </c>
    </row>
    <row r="13" spans="1:12" x14ac:dyDescent="0.3">
      <c r="A13">
        <v>57</v>
      </c>
      <c r="B13" t="s">
        <v>5</v>
      </c>
      <c r="C13" s="1">
        <v>1.1733030999999999E-3</v>
      </c>
      <c r="D13" s="1">
        <v>1.4230217E-3</v>
      </c>
      <c r="E13" s="1">
        <v>1.2612863E-3</v>
      </c>
      <c r="F13">
        <v>1.2128222E-3</v>
      </c>
      <c r="H13" t="s">
        <v>5</v>
      </c>
      <c r="I13" s="1">
        <f t="shared" si="5"/>
        <v>2.0207659168765195E-3</v>
      </c>
      <c r="J13" s="1">
        <f t="shared" si="4"/>
        <v>2.4508532793748555E-3</v>
      </c>
      <c r="K13" s="1">
        <f t="shared" si="4"/>
        <v>2.1725024268294743E-3</v>
      </c>
      <c r="L13" s="1">
        <f t="shared" si="4"/>
        <v>2.2043272316658248E-3</v>
      </c>
    </row>
    <row r="14" spans="1:12" x14ac:dyDescent="0.3">
      <c r="A14">
        <v>15</v>
      </c>
      <c r="B14" t="s">
        <v>6</v>
      </c>
      <c r="C14" s="1">
        <v>1.5885808000000001E-4</v>
      </c>
      <c r="D14" s="1">
        <v>4.0405961999999998E-4</v>
      </c>
      <c r="E14" s="1">
        <v>1.6713070999999999E-4</v>
      </c>
      <c r="F14" s="1">
        <v>1.4020381999999999E-4</v>
      </c>
      <c r="G14" s="1"/>
      <c r="H14" t="s">
        <v>6</v>
      </c>
      <c r="I14" s="1">
        <f t="shared" si="5"/>
        <v>2.7359937401038448E-4</v>
      </c>
      <c r="J14" s="1">
        <f t="shared" si="4"/>
        <v>6.9590705801602173E-4</v>
      </c>
      <c r="K14" s="1">
        <f t="shared" si="4"/>
        <v>2.878742701579594E-4</v>
      </c>
      <c r="L14" s="1">
        <f t="shared" si="4"/>
        <v>2.5482308817366102E-4</v>
      </c>
    </row>
    <row r="15" spans="1:12" x14ac:dyDescent="0.3">
      <c r="A15">
        <v>26</v>
      </c>
      <c r="B15" t="s">
        <v>10</v>
      </c>
      <c r="C15" s="1">
        <v>3.2244583000000002E-4</v>
      </c>
      <c r="D15" s="1">
        <v>6.5975668000000005E-4</v>
      </c>
      <c r="E15" s="1">
        <v>4.9483402000000001E-4</v>
      </c>
      <c r="F15" s="1">
        <v>5.4723814E-4</v>
      </c>
      <c r="G15" s="1"/>
      <c r="H15" t="s">
        <v>10</v>
      </c>
      <c r="I15" s="1">
        <f t="shared" si="5"/>
        <v>5.5534460217735761E-4</v>
      </c>
      <c r="J15" s="1">
        <f t="shared" si="4"/>
        <v>1.1362910507741852E-3</v>
      </c>
      <c r="K15" s="1">
        <f t="shared" si="4"/>
        <v>8.5232679473945332E-4</v>
      </c>
      <c r="L15" s="1">
        <f t="shared" si="4"/>
        <v>9.9461564457523533E-4</v>
      </c>
    </row>
    <row r="16" spans="1:12" x14ac:dyDescent="0.3">
      <c r="A16">
        <v>27</v>
      </c>
      <c r="B16" t="s">
        <v>11</v>
      </c>
      <c r="C16" s="1">
        <v>2.0209170000000001E-5</v>
      </c>
      <c r="D16" s="1">
        <v>2.7562181999999999E-5</v>
      </c>
      <c r="E16" s="1">
        <v>3.5406639999999997E-5</v>
      </c>
      <c r="F16" s="1">
        <v>3.9856803000000003E-5</v>
      </c>
      <c r="G16" s="1"/>
      <c r="H16" t="s">
        <v>11</v>
      </c>
      <c r="I16" s="1">
        <f t="shared" si="5"/>
        <v>3.4806012141588528E-5</v>
      </c>
      <c r="J16" s="1">
        <f t="shared" si="4"/>
        <v>4.747001689533379E-5</v>
      </c>
      <c r="K16" s="1">
        <f t="shared" si="4"/>
        <v>6.0986162559505741E-5</v>
      </c>
      <c r="L16" s="1">
        <f>F16/SUM(F$22:F$33)</f>
        <v>7.2440491458715172E-5</v>
      </c>
    </row>
    <row r="17" spans="1:12" x14ac:dyDescent="0.3">
      <c r="A17">
        <v>28</v>
      </c>
      <c r="B17" t="s">
        <v>12</v>
      </c>
      <c r="C17" s="1">
        <v>5.8256975E-7</v>
      </c>
      <c r="D17" s="1">
        <v>7.2814736000000002E-7</v>
      </c>
      <c r="E17" s="1">
        <v>1.0011189E-6</v>
      </c>
      <c r="F17" s="1">
        <v>1.1754136999999999E-6</v>
      </c>
      <c r="G17" s="1"/>
      <c r="H17" t="s">
        <v>12</v>
      </c>
      <c r="I17" s="1">
        <f t="shared" si="5"/>
        <v>1.0033529230454389E-6</v>
      </c>
      <c r="J17" s="1">
        <f t="shared" si="4"/>
        <v>1.2540795021777555E-6</v>
      </c>
      <c r="K17" s="1">
        <f t="shared" si="4"/>
        <v>1.7243771218278147E-6</v>
      </c>
      <c r="L17" s="1">
        <f t="shared" si="4"/>
        <v>2.1363365771034568E-6</v>
      </c>
    </row>
    <row r="19" spans="1:12" ht="113.4" customHeight="1" x14ac:dyDescent="0.3">
      <c r="E19" s="3" t="s">
        <v>21</v>
      </c>
      <c r="F19" s="3" t="s">
        <v>24</v>
      </c>
    </row>
    <row r="20" spans="1:12" x14ac:dyDescent="0.3">
      <c r="A20" s="4" t="s">
        <v>25</v>
      </c>
      <c r="B20" s="4"/>
      <c r="C20" s="4"/>
      <c r="D20" s="4"/>
      <c r="E20" s="4"/>
      <c r="F20" s="4"/>
    </row>
    <row r="21" spans="1:12" x14ac:dyDescent="0.3">
      <c r="C21" t="s">
        <v>14</v>
      </c>
      <c r="D21" t="s">
        <v>13</v>
      </c>
      <c r="E21" t="s">
        <v>20</v>
      </c>
      <c r="F21" t="s">
        <v>23</v>
      </c>
    </row>
    <row r="22" spans="1:12" x14ac:dyDescent="0.3">
      <c r="A22">
        <v>12</v>
      </c>
      <c r="B22" t="s">
        <v>0</v>
      </c>
      <c r="C22">
        <v>1.2644563000000001E-3</v>
      </c>
      <c r="D22">
        <f>C22</f>
        <v>1.2644563000000001E-3</v>
      </c>
      <c r="E22">
        <v>1.2645963000000001E-3</v>
      </c>
      <c r="F22">
        <v>1.7848789E-3</v>
      </c>
    </row>
    <row r="23" spans="1:12" x14ac:dyDescent="0.3">
      <c r="A23">
        <v>13</v>
      </c>
      <c r="B23" t="s">
        <v>1</v>
      </c>
      <c r="C23">
        <v>9.9480404999999997E-4</v>
      </c>
      <c r="D23">
        <f t="shared" ref="D23:D33" si="6">C23</f>
        <v>9.9480404999999997E-4</v>
      </c>
      <c r="E23">
        <v>9.9486844000000007E-4</v>
      </c>
      <c r="F23">
        <v>1.2975173000000001E-3</v>
      </c>
    </row>
    <row r="24" spans="1:12" x14ac:dyDescent="0.3">
      <c r="A24">
        <v>104</v>
      </c>
      <c r="B24" t="s">
        <v>2</v>
      </c>
      <c r="C24">
        <v>1.0814111999999999E-6</v>
      </c>
      <c r="D24">
        <f t="shared" si="6"/>
        <v>1.0814111999999999E-6</v>
      </c>
      <c r="E24">
        <v>1.0615632000000001E-6</v>
      </c>
      <c r="F24" s="1">
        <v>1.9112527000000002E-6</v>
      </c>
    </row>
    <row r="25" spans="1:12" x14ac:dyDescent="0.3">
      <c r="A25">
        <v>56</v>
      </c>
      <c r="B25" t="s">
        <v>3</v>
      </c>
      <c r="C25">
        <v>1.5800305000000001E-2</v>
      </c>
      <c r="D25">
        <f t="shared" si="6"/>
        <v>1.5800305000000001E-2</v>
      </c>
      <c r="E25">
        <v>1.5803570999999999E-2</v>
      </c>
      <c r="F25">
        <v>2.2862635999999999E-2</v>
      </c>
    </row>
    <row r="26" spans="1:12" x14ac:dyDescent="0.3">
      <c r="A26">
        <v>14</v>
      </c>
      <c r="B26" t="s">
        <v>4</v>
      </c>
      <c r="C26">
        <v>0.56196668999999999</v>
      </c>
      <c r="D26">
        <f t="shared" si="6"/>
        <v>0.56196668999999999</v>
      </c>
      <c r="E26">
        <v>0.56190872000000003</v>
      </c>
      <c r="F26">
        <v>0.52347845999999998</v>
      </c>
    </row>
    <row r="27" spans="1:12" x14ac:dyDescent="0.3">
      <c r="A27">
        <v>105</v>
      </c>
      <c r="B27" t="s">
        <v>8</v>
      </c>
      <c r="C27">
        <v>3.3668565000000001E-6</v>
      </c>
      <c r="D27">
        <f t="shared" si="6"/>
        <v>3.3668565000000001E-6</v>
      </c>
      <c r="E27">
        <v>3.3659968999999998E-6</v>
      </c>
      <c r="F27" s="1">
        <v>4.5265800000000003E-6</v>
      </c>
    </row>
    <row r="28" spans="1:12" x14ac:dyDescent="0.3">
      <c r="A28">
        <v>106</v>
      </c>
      <c r="B28" t="s">
        <v>9</v>
      </c>
      <c r="C28">
        <v>2.0353611999999999E-6</v>
      </c>
      <c r="D28">
        <f t="shared" si="6"/>
        <v>2.0353611999999999E-6</v>
      </c>
      <c r="E28">
        <v>2.0348371999999998E-6</v>
      </c>
      <c r="F28" s="1">
        <v>3.0401373000000001E-6</v>
      </c>
    </row>
    <row r="29" spans="1:12" x14ac:dyDescent="0.3">
      <c r="A29">
        <v>57</v>
      </c>
      <c r="B29" t="s">
        <v>5</v>
      </c>
      <c r="C29">
        <v>3.6694032999999999E-4</v>
      </c>
      <c r="D29">
        <f t="shared" si="6"/>
        <v>3.6694032999999999E-4</v>
      </c>
      <c r="E29">
        <v>3.6699797000000001E-4</v>
      </c>
      <c r="F29">
        <v>4.7332922000000002E-4</v>
      </c>
    </row>
    <row r="30" spans="1:12" x14ac:dyDescent="0.3">
      <c r="A30">
        <v>15</v>
      </c>
      <c r="B30" t="s">
        <v>6</v>
      </c>
      <c r="C30">
        <v>4.4136869000000003E-5</v>
      </c>
      <c r="D30">
        <f t="shared" si="6"/>
        <v>4.4136869000000003E-5</v>
      </c>
      <c r="E30">
        <v>4.4135887000000003E-5</v>
      </c>
      <c r="F30" s="1">
        <v>6.1516470000000004E-5</v>
      </c>
    </row>
    <row r="31" spans="1:12" x14ac:dyDescent="0.3">
      <c r="A31">
        <v>26</v>
      </c>
      <c r="B31" t="s">
        <v>10</v>
      </c>
      <c r="C31">
        <v>1.6146208E-4</v>
      </c>
      <c r="D31">
        <f t="shared" si="6"/>
        <v>1.6146208E-4</v>
      </c>
      <c r="E31">
        <v>1.6137407000000001E-4</v>
      </c>
      <c r="F31">
        <v>2.1295801E-4</v>
      </c>
    </row>
    <row r="32" spans="1:12" x14ac:dyDescent="0.3">
      <c r="A32">
        <v>27</v>
      </c>
      <c r="B32" t="s">
        <v>11</v>
      </c>
      <c r="C32">
        <v>1.7165225000000001E-5</v>
      </c>
      <c r="D32">
        <f t="shared" si="6"/>
        <v>1.7165225000000001E-5</v>
      </c>
      <c r="E32">
        <v>1.7170686999999999E-5</v>
      </c>
      <c r="F32" s="1">
        <v>1.9226916000000001E-5</v>
      </c>
    </row>
    <row r="33" spans="1:6" x14ac:dyDescent="0.3">
      <c r="A33">
        <v>28</v>
      </c>
      <c r="B33" t="s">
        <v>12</v>
      </c>
      <c r="C33">
        <v>5.2239409999999995E-7</v>
      </c>
      <c r="D33">
        <f t="shared" si="6"/>
        <v>5.2239409999999995E-7</v>
      </c>
      <c r="E33">
        <v>5.2260863000000005E-7</v>
      </c>
      <c r="F33" s="1">
        <v>6.1488368999999995E-7</v>
      </c>
    </row>
  </sheetData>
  <mergeCells count="1">
    <mergeCell ref="A20:F2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Bonheure</dc:creator>
  <cp:lastModifiedBy>Mike Bonheure</cp:lastModifiedBy>
  <dcterms:created xsi:type="dcterms:W3CDTF">2026-07-13T15:38:28Z</dcterms:created>
  <dcterms:modified xsi:type="dcterms:W3CDTF">2026-07-14T05:53:18Z</dcterms:modified>
</cp:coreProperties>
</file>